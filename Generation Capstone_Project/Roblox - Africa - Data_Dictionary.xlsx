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3D4EFF-1E74-46B9-920F-465949E6EC23}" xr6:coauthVersionLast="47" xr6:coauthVersionMax="47" xr10:uidLastSave="{00000000-0000-0000-0000-000000000000}"/>
  <bookViews>
    <workbookView xWindow="3192" yWindow="0" windowWidth="19272" windowHeight="12336" activeTab="3" xr2:uid="{00000000-000D-0000-FFFF-FFFF00000000}"/>
  </bookViews>
  <sheets>
    <sheet name="Data Dictionary" sheetId="1" r:id="rId1"/>
    <sheet name="Calculated Fields" sheetId="2" r:id="rId2"/>
    <sheet name="Power BI Measures" sheetId="3" r:id="rId3"/>
    <sheet name="Relationshi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2" l="1"/>
  <c r="E2" i="2"/>
</calcChain>
</file>

<file path=xl/sharedStrings.xml><?xml version="1.0" encoding="utf-8"?>
<sst xmlns="http://schemas.openxmlformats.org/spreadsheetml/2006/main" count="476" uniqueCount="280">
  <si>
    <t>Dataset/Table</t>
  </si>
  <si>
    <t>Column</t>
  </si>
  <si>
    <t>Data Type</t>
  </si>
  <si>
    <t>Key Type</t>
  </si>
  <si>
    <t>Description</t>
  </si>
  <si>
    <t>Example / Business Use</t>
  </si>
  <si>
    <t>employees</t>
  </si>
  <si>
    <t>employee_id</t>
  </si>
  <si>
    <t>INT</t>
  </si>
  <si>
    <t>PK</t>
  </si>
  <si>
    <t>Unique identifier assigned to each employee</t>
  </si>
  <si>
    <t>Employee-level joins and distinct employee counts</t>
  </si>
  <si>
    <t>other_name</t>
  </si>
  <si>
    <t>VARCHAR(150)</t>
  </si>
  <si>
    <t>—</t>
  </si>
  <si>
    <t>Employee's first/other name</t>
  </si>
  <si>
    <t>Personally identifiable; exclude from executive dashboard</t>
  </si>
  <si>
    <t>last_name</t>
  </si>
  <si>
    <t>VARCHAR(100)</t>
  </si>
  <si>
    <t>Employee's surname</t>
  </si>
  <si>
    <t>age</t>
  </si>
  <si>
    <t>Employee age in years</t>
  </si>
  <si>
    <t>Age distribution and age-group analysis</t>
  </si>
  <si>
    <t>position</t>
  </si>
  <si>
    <t>Employee's current job position</t>
  </si>
  <si>
    <t>Workforce distribution by role</t>
  </si>
  <si>
    <t>date_joined</t>
  </si>
  <si>
    <t>DATE</t>
  </si>
  <si>
    <t>Date employee joined the organization</t>
  </si>
  <si>
    <t>Length-of-service analysis</t>
  </si>
  <si>
    <t>phone_number</t>
  </si>
  <si>
    <t>VARCHAR(30)</t>
  </si>
  <si>
    <t>Employee contact number</t>
  </si>
  <si>
    <t>Personally identifiable; not used for analysis</t>
  </si>
  <si>
    <t>gender</t>
  </si>
  <si>
    <t>VARCHAR(20)</t>
  </si>
  <si>
    <t>Employee gender</t>
  </si>
  <si>
    <t>Workforce demographic analysis</t>
  </si>
  <si>
    <t>employee_status</t>
  </si>
  <si>
    <t>Current employment status, e.g. Active/Inactive</t>
  </si>
  <si>
    <t>Active workforce analysis</t>
  </si>
  <si>
    <t>department_code</t>
  </si>
  <si>
    <t>VARCHAR(10)</t>
  </si>
  <si>
    <t>FK</t>
  </si>
  <si>
    <t>Department to which employee is assigned</t>
  </si>
  <si>
    <t>Links employee to department</t>
  </si>
  <si>
    <t>email_address</t>
  </si>
  <si>
    <t>VARCHAR(200)</t>
  </si>
  <si>
    <t>Employee email address</t>
  </si>
  <si>
    <t>departments</t>
  </si>
  <si>
    <t>Unique department identifier</t>
  </si>
  <si>
    <t>Department relationships and filtering</t>
  </si>
  <si>
    <t>department_name</t>
  </si>
  <si>
    <t>Full name of the department</t>
  </si>
  <si>
    <t>Department-level reporting</t>
  </si>
  <si>
    <t>education</t>
  </si>
  <si>
    <t>education_record_id</t>
  </si>
  <si>
    <t>Unique education record identifier</t>
  </si>
  <si>
    <t>Uniquely identifies an education record</t>
  </si>
  <si>
    <t>Employee associated with the education record</t>
  </si>
  <si>
    <t>Links education to employee</t>
  </si>
  <si>
    <t>institution_country</t>
  </si>
  <si>
    <t>Country where the institution is located</t>
  </si>
  <si>
    <t>Education background analysis</t>
  </si>
  <si>
    <t>education_level</t>
  </si>
  <si>
    <t>Highest recorded educational qualification</t>
  </si>
  <si>
    <t>Qualification distribution</t>
  </si>
  <si>
    <t>institution_name</t>
  </si>
  <si>
    <t>Name of educational institution</t>
  </si>
  <si>
    <t>Detailed education profile</t>
  </si>
  <si>
    <t>degree_title</t>
  </si>
  <si>
    <t>Name/title of degree obtained</t>
  </si>
  <si>
    <t>Qualification analysis</t>
  </si>
  <si>
    <t>field_of_study</t>
  </si>
  <si>
    <t>Employee's academic discipline</t>
  </si>
  <si>
    <t>Talent placement analysis</t>
  </si>
  <si>
    <t>graduation_date</t>
  </si>
  <si>
    <t>Date qualification was completed</t>
  </si>
  <si>
    <t>Education timeline/reference</t>
  </si>
  <si>
    <t>finance_records</t>
  </si>
  <si>
    <t>finance_id</t>
  </si>
  <si>
    <t>VARCHAR(50)</t>
  </si>
  <si>
    <t>Unique financial record identifier</t>
  </si>
  <si>
    <t>Uniquely identifies a finance record</t>
  </si>
  <si>
    <t>basic_salary</t>
  </si>
  <si>
    <t>DECIMAL(12,2)</t>
  </si>
  <si>
    <t>Employee's basic salary</t>
  </si>
  <si>
    <t>Salary and compensation analysis</t>
  </si>
  <si>
    <t>tax_id</t>
  </si>
  <si>
    <t>Employee tax identifier</t>
  </si>
  <si>
    <t>Sensitive identifier; exclude from dashboard</t>
  </si>
  <si>
    <t>account_number</t>
  </si>
  <si>
    <t>Employee bank account number</t>
  </si>
  <si>
    <t>staff_id</t>
  </si>
  <si>
    <t>Employee identifier corresponding to employee_id</t>
  </si>
  <si>
    <t>Links finance data to employee</t>
  </si>
  <si>
    <t>allowances</t>
  </si>
  <si>
    <t>Additional employee allowances</t>
  </si>
  <si>
    <t>Compensation analysis</t>
  </si>
  <si>
    <t>bank_name</t>
  </si>
  <si>
    <t>Employee's bank</t>
  </si>
  <si>
    <t>Administrative field; not required for dashboard</t>
  </si>
  <si>
    <t>health_records</t>
  </si>
  <si>
    <t>health_id</t>
  </si>
  <si>
    <t>Unique health record identifier</t>
  </si>
  <si>
    <t>Uniquely identifies a health record</t>
  </si>
  <si>
    <t>Employee associated with the record</t>
  </si>
  <si>
    <t>Links wellbeing information to employee</t>
  </si>
  <si>
    <t>created_at</t>
  </si>
  <si>
    <t>DATETIME</t>
  </si>
  <si>
    <t>Date/time record was created</t>
  </si>
  <si>
    <t>Record administration</t>
  </si>
  <si>
    <t>updated_at</t>
  </si>
  <si>
    <t>Date/time record was last updated</t>
  </si>
  <si>
    <t>medical_leave_eligible</t>
  </si>
  <si>
    <t>Indicates whether employee qualifies for medical leave</t>
  </si>
  <si>
    <t>Medical leave eligibility analysis</t>
  </si>
  <si>
    <t>insurance_status</t>
  </si>
  <si>
    <t>Current insurance status, e.g. Active, Expired, Pending</t>
  </si>
  <si>
    <t>Insurance risk monitoring</t>
  </si>
  <si>
    <t>insurance_provider</t>
  </si>
  <si>
    <t>Employee's insurance provider</t>
  </si>
  <si>
    <t>Insurance administration</t>
  </si>
  <si>
    <t>policy_number</t>
  </si>
  <si>
    <t>Insurance policy identifier</t>
  </si>
  <si>
    <t>Sensitive administrative identifier</t>
  </si>
  <si>
    <t>insurance_plan_type</t>
  </si>
  <si>
    <t>Type/category of insurance plan</t>
  </si>
  <si>
    <t>Insurance coverage analysis</t>
  </si>
  <si>
    <t>medical_leave_balance</t>
  </si>
  <si>
    <t>Remaining medical leave allocation</t>
  </si>
  <si>
    <t>Wellbeing and operational risk analysis</t>
  </si>
  <si>
    <t>employee_performance</t>
  </si>
  <si>
    <t>record_id</t>
  </si>
  <si>
    <t>Unique performance record identifier</t>
  </si>
  <si>
    <t>Uniquely identifies annual performance record</t>
  </si>
  <si>
    <t>Employee associated with the performance record</t>
  </si>
  <si>
    <t>Links performance to employee</t>
  </si>
  <si>
    <t>year</t>
  </si>
  <si>
    <t>INT / YEAR</t>
  </si>
  <si>
    <t>Performance assessment year</t>
  </si>
  <si>
    <t>Year-based performance analysis</t>
  </si>
  <si>
    <t>performance_score</t>
  </si>
  <si>
    <t>DECIMAL(5,2)</t>
  </si>
  <si>
    <t>Employee performance rating</t>
  </si>
  <si>
    <t>Performance KPI and category analysis</t>
  </si>
  <si>
    <t>projects_completed</t>
  </si>
  <si>
    <t>Number of projects completed during the period</t>
  </si>
  <si>
    <t>Productivity analysis</t>
  </si>
  <si>
    <t>training_hours</t>
  </si>
  <si>
    <t>Number of employee training hours</t>
  </si>
  <si>
    <t>Learning and development analysis</t>
  </si>
  <si>
    <t>attendance_rate_percent</t>
  </si>
  <si>
    <t>Employee attendance percentage</t>
  </si>
  <si>
    <t>Attendance and performance analysis</t>
  </si>
  <si>
    <t>bonus_awarded</t>
  </si>
  <si>
    <t>Indicates whether employee received a bonus</t>
  </si>
  <si>
    <t>Reward distribution analysis</t>
  </si>
  <si>
    <t>department_performance</t>
  </si>
  <si>
    <t>Unique department performance record</t>
  </si>
  <si>
    <t>Uniquely identifies department-year record</t>
  </si>
  <si>
    <t>Department name</t>
  </si>
  <si>
    <t>Links performance to department</t>
  </si>
  <si>
    <t>Year of departmental performance</t>
  </si>
  <si>
    <t>Financial trend analysis</t>
  </si>
  <si>
    <t>average_performance_score</t>
  </si>
  <si>
    <t>Average departmental performance score</t>
  </si>
  <si>
    <t>Department performance comparison</t>
  </si>
  <si>
    <t>total_revenue_generated</t>
  </si>
  <si>
    <t>DECIMAL(15,2)</t>
  </si>
  <si>
    <t>Total revenue generated by department</t>
  </si>
  <si>
    <t>Revenue analysis</t>
  </si>
  <si>
    <t>total_cost</t>
  </si>
  <si>
    <t>Total cost incurred by department</t>
  </si>
  <si>
    <t>Cost analysis</t>
  </si>
  <si>
    <t>training_hours_completed</t>
  </si>
  <si>
    <t>Total training hours completed within department</t>
  </si>
  <si>
    <t>Department training analysis</t>
  </si>
  <si>
    <t>Field</t>
  </si>
  <si>
    <t>Layer</t>
  </si>
  <si>
    <t>Definition / Rule</t>
  </si>
  <si>
    <t>Business Purpose</t>
  </si>
  <si>
    <t>total_compensation</t>
  </si>
  <si>
    <t>MySQL / Power BI</t>
  </si>
  <si>
    <t>Currency</t>
  </si>
  <si>
    <t>basic_salary + allowances</t>
  </si>
  <si>
    <t>Age Group</t>
  </si>
  <si>
    <t>Power Query</t>
  </si>
  <si>
    <t>Text</t>
  </si>
  <si>
    <t>Under 25; 25–34; 35–44; 45–54; 55 and above</t>
  </si>
  <si>
    <t>Age Group Sort</t>
  </si>
  <si>
    <t>Whole Number</t>
  </si>
  <si>
    <t>1 to 5 corresponding to Age Group order</t>
  </si>
  <si>
    <t>Service Years</t>
  </si>
  <si>
    <t>Completed years between date_joined and current date</t>
  </si>
  <si>
    <t>Length of Service</t>
  </si>
  <si>
    <t>&lt;1; 1–3; 4–6; 7–10; &gt;10 years</t>
  </si>
  <si>
    <t>Service Group Sort</t>
  </si>
  <si>
    <t>1 to 5 corresponding to service-group order</t>
  </si>
  <si>
    <t>Performance Category</t>
  </si>
  <si>
    <t>Below 2.5 = Low; 2.5–3.49 = Moderate; 3.5–4.19 = High; 4.2+ = Very High</t>
  </si>
  <si>
    <t>Performance Category Sort</t>
  </si>
  <si>
    <t>1=Low; 2=Moderate; 3=High; 4=Very High</t>
  </si>
  <si>
    <t>net_contribution</t>
  </si>
  <si>
    <t>total_revenue_generated - total_cost</t>
  </si>
  <si>
    <t>revenue_cost_ratio</t>
  </si>
  <si>
    <t>Decimal</t>
  </si>
  <si>
    <t>total_revenue_generated / total_cost</t>
  </si>
  <si>
    <t>cost_to_revenue_percent</t>
  </si>
  <si>
    <t>Percentage</t>
  </si>
  <si>
    <t>total_cost / total_revenue_generated</t>
  </si>
  <si>
    <t>Measure</t>
  </si>
  <si>
    <t>Total Employees</t>
  </si>
  <si>
    <t>Distinct number of employees</t>
  </si>
  <si>
    <t>Active Employees</t>
  </si>
  <si>
    <t>Number of employees currently active</t>
  </si>
  <si>
    <t>Average Age</t>
  </si>
  <si>
    <t>Average employee age</t>
  </si>
  <si>
    <t>Total Basic Salary</t>
  </si>
  <si>
    <t>Sum of employee basic salaries</t>
  </si>
  <si>
    <t>Average Salary</t>
  </si>
  <si>
    <t>Average employee basic salary</t>
  </si>
  <si>
    <t>Total Allowances</t>
  </si>
  <si>
    <t>Sum of employee allowances</t>
  </si>
  <si>
    <t>Total Compensation</t>
  </si>
  <si>
    <t>Total payroll including salary and allowances</t>
  </si>
  <si>
    <t>Average Compensation</t>
  </si>
  <si>
    <t>Average total compensation per employee</t>
  </si>
  <si>
    <t>Average Performance Score</t>
  </si>
  <si>
    <t>Average individual employee performance score</t>
  </si>
  <si>
    <t>Total Projects Completed</t>
  </si>
  <si>
    <t>Total number of projects completed</t>
  </si>
  <si>
    <t>Average Projects Completed</t>
  </si>
  <si>
    <t>Average number of projects completed</t>
  </si>
  <si>
    <t>Average Training Hours</t>
  </si>
  <si>
    <t>Average employee training hours</t>
  </si>
  <si>
    <t>Average Attendance Rate</t>
  </si>
  <si>
    <t>Average employee attendance percentage</t>
  </si>
  <si>
    <t>Employees with Active Insurance</t>
  </si>
  <si>
    <t>Distinct employees with active insurance</t>
  </si>
  <si>
    <t>Expired Insurance Count</t>
  </si>
  <si>
    <t>Number of employees with expired insurance</t>
  </si>
  <si>
    <t>Pending Insurance Count</t>
  </si>
  <si>
    <t>Number of employees with pending insurance</t>
  </si>
  <si>
    <t>Average Medical Leave Balance</t>
  </si>
  <si>
    <t>Average remaining medical leave balance</t>
  </si>
  <si>
    <t>Total Department Revenue</t>
  </si>
  <si>
    <t>Total revenue generated by departments</t>
  </si>
  <si>
    <t>Total Department Cost</t>
  </si>
  <si>
    <t>Total departmental cost</t>
  </si>
  <si>
    <t>Net Contribution</t>
  </si>
  <si>
    <t>Department revenue minus cost</t>
  </si>
  <si>
    <t>Revenue-to-Cost Ratio</t>
  </si>
  <si>
    <t>Revenue generated relative to department cost</t>
  </si>
  <si>
    <t>Average Department Performance</t>
  </si>
  <si>
    <t>From Table</t>
  </si>
  <si>
    <t>From Column</t>
  </si>
  <si>
    <t>To Table</t>
  </si>
  <si>
    <t>To Column</t>
  </si>
  <si>
    <t>Relationship / Note</t>
  </si>
  <si>
    <t>One-to-many; department filters employees</t>
  </si>
  <si>
    <t>One-to-many or one-to-one depending on source design</t>
  </si>
  <si>
    <t>Employee-to-finance relationship</t>
  </si>
  <si>
    <t>Employee-to-health relationship</t>
  </si>
  <si>
    <t>One-to-many; employee may have annual records</t>
  </si>
  <si>
    <t>One-to-many; department has annual records</t>
  </si>
  <si>
    <t>Active Employees Rate</t>
  </si>
  <si>
    <t>Percentage of Active Employees</t>
  </si>
  <si>
    <t>Most Common Education Level</t>
  </si>
  <si>
    <t>Most Common Field of Study</t>
  </si>
  <si>
    <t>Workforce Age Segmentation</t>
  </si>
  <si>
    <t>Correct Age-Group Sorting</t>
  </si>
  <si>
    <t>Employee Tenure Analysis</t>
  </si>
  <si>
    <t>Tenure Segmentation</t>
  </si>
  <si>
    <t>Correct Tenure Sorting</t>
  </si>
  <si>
    <t>Performance Segmentation</t>
  </si>
  <si>
    <t>Correct Performance-Category Sorting</t>
  </si>
  <si>
    <t>Department Financial Contribution</t>
  </si>
  <si>
    <t>Revenue Generated Per Unit Of Cost</t>
  </si>
  <si>
    <t>Share Of Revenue Consumed By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</si>
</sst>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F55">
  <autoFilter ref="A1:F55" xr:uid="{00000000-0009-0000-0100-000001000000}"/>
  <tableColumns count="6">
    <tableColumn id="1" xr3:uid="{00000000-0010-0000-0000-000001000000}" name="Dataset/Table"/>
    <tableColumn id="2" xr3:uid="{00000000-0010-0000-0000-000002000000}" name="Column"/>
    <tableColumn id="3" xr3:uid="{00000000-0010-0000-0000-000003000000}" name="Data Type"/>
    <tableColumn id="4" xr3:uid="{00000000-0010-0000-0000-000004000000}" name="Key Type"/>
    <tableColumn id="5" xr3:uid="{00000000-0010-0000-0000-000005000000}" name="Description"/>
    <tableColumn id="6" xr3:uid="{00000000-0010-0000-0000-000006000000}" name="Example / Business U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4" customWidth="1"/>
    <col min="2" max="2" width="28" customWidth="1"/>
    <col min="3" max="3" width="18" customWidth="1"/>
    <col min="4" max="4" width="12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28.8" x14ac:dyDescent="0.3">
      <c r="A4" s="2" t="s">
        <v>6</v>
      </c>
      <c r="B4" s="2" t="s">
        <v>17</v>
      </c>
      <c r="C4" s="2" t="s">
        <v>18</v>
      </c>
      <c r="D4" s="2" t="s">
        <v>14</v>
      </c>
      <c r="E4" s="2" t="s">
        <v>19</v>
      </c>
      <c r="F4" s="2" t="s">
        <v>16</v>
      </c>
    </row>
    <row r="5" spans="1:6" x14ac:dyDescent="0.3">
      <c r="A5" s="2" t="s">
        <v>6</v>
      </c>
      <c r="B5" s="2" t="s">
        <v>20</v>
      </c>
      <c r="C5" s="2" t="s">
        <v>8</v>
      </c>
      <c r="D5" s="2" t="s">
        <v>14</v>
      </c>
      <c r="E5" s="2" t="s">
        <v>21</v>
      </c>
      <c r="F5" s="2" t="s">
        <v>22</v>
      </c>
    </row>
    <row r="6" spans="1:6" x14ac:dyDescent="0.3">
      <c r="A6" s="2" t="s">
        <v>6</v>
      </c>
      <c r="B6" s="2" t="s">
        <v>23</v>
      </c>
      <c r="C6" s="2" t="s">
        <v>18</v>
      </c>
      <c r="D6" s="2" t="s">
        <v>14</v>
      </c>
      <c r="E6" s="2" t="s">
        <v>24</v>
      </c>
      <c r="F6" s="2" t="s">
        <v>25</v>
      </c>
    </row>
    <row r="7" spans="1:6" x14ac:dyDescent="0.3">
      <c r="A7" s="2" t="s">
        <v>6</v>
      </c>
      <c r="B7" s="2" t="s">
        <v>26</v>
      </c>
      <c r="C7" s="2" t="s">
        <v>27</v>
      </c>
      <c r="D7" s="2" t="s">
        <v>14</v>
      </c>
      <c r="E7" s="2" t="s">
        <v>28</v>
      </c>
      <c r="F7" s="2" t="s">
        <v>29</v>
      </c>
    </row>
    <row r="8" spans="1:6" x14ac:dyDescent="0.3">
      <c r="A8" s="2" t="s">
        <v>6</v>
      </c>
      <c r="B8" s="2" t="s">
        <v>30</v>
      </c>
      <c r="C8" s="2" t="s">
        <v>31</v>
      </c>
      <c r="D8" s="2" t="s">
        <v>14</v>
      </c>
      <c r="E8" s="2" t="s">
        <v>32</v>
      </c>
      <c r="F8" s="2" t="s">
        <v>33</v>
      </c>
    </row>
    <row r="9" spans="1:6" x14ac:dyDescent="0.3">
      <c r="A9" s="2" t="s">
        <v>6</v>
      </c>
      <c r="B9" s="2" t="s">
        <v>34</v>
      </c>
      <c r="C9" s="2" t="s">
        <v>35</v>
      </c>
      <c r="D9" s="2" t="s">
        <v>14</v>
      </c>
      <c r="E9" s="2" t="s">
        <v>36</v>
      </c>
      <c r="F9" s="2" t="s">
        <v>37</v>
      </c>
    </row>
    <row r="10" spans="1:6" x14ac:dyDescent="0.3">
      <c r="A10" s="2" t="s">
        <v>6</v>
      </c>
      <c r="B10" s="2" t="s">
        <v>38</v>
      </c>
      <c r="C10" s="2" t="s">
        <v>31</v>
      </c>
      <c r="D10" s="2" t="s">
        <v>14</v>
      </c>
      <c r="E10" s="2" t="s">
        <v>39</v>
      </c>
      <c r="F10" s="2" t="s">
        <v>40</v>
      </c>
    </row>
    <row r="11" spans="1:6" x14ac:dyDescent="0.3">
      <c r="A11" s="2" t="s">
        <v>6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 x14ac:dyDescent="0.3">
      <c r="A12" s="2" t="s">
        <v>6</v>
      </c>
      <c r="B12" s="2" t="s">
        <v>46</v>
      </c>
      <c r="C12" s="2" t="s">
        <v>47</v>
      </c>
      <c r="D12" s="2" t="s">
        <v>14</v>
      </c>
      <c r="E12" s="2" t="s">
        <v>48</v>
      </c>
      <c r="F12" s="2" t="s">
        <v>33</v>
      </c>
    </row>
    <row r="13" spans="1:6" x14ac:dyDescent="0.3">
      <c r="A13" s="2" t="s">
        <v>49</v>
      </c>
      <c r="B13" s="2" t="s">
        <v>41</v>
      </c>
      <c r="C13" s="2" t="s">
        <v>42</v>
      </c>
      <c r="D13" s="2" t="s">
        <v>9</v>
      </c>
      <c r="E13" s="2" t="s">
        <v>50</v>
      </c>
      <c r="F13" s="2" t="s">
        <v>51</v>
      </c>
    </row>
    <row r="14" spans="1:6" x14ac:dyDescent="0.3">
      <c r="A14" s="2" t="s">
        <v>49</v>
      </c>
      <c r="B14" s="2" t="s">
        <v>52</v>
      </c>
      <c r="C14" s="2" t="s">
        <v>18</v>
      </c>
      <c r="D14" s="2" t="s">
        <v>14</v>
      </c>
      <c r="E14" s="2" t="s">
        <v>53</v>
      </c>
      <c r="F14" s="2" t="s">
        <v>54</v>
      </c>
    </row>
    <row r="15" spans="1:6" x14ac:dyDescent="0.3">
      <c r="A15" s="2" t="s">
        <v>55</v>
      </c>
      <c r="B15" s="2" t="s">
        <v>56</v>
      </c>
      <c r="C15" s="2" t="s">
        <v>8</v>
      </c>
      <c r="D15" s="2" t="s">
        <v>9</v>
      </c>
      <c r="E15" s="2" t="s">
        <v>57</v>
      </c>
      <c r="F15" s="2" t="s">
        <v>58</v>
      </c>
    </row>
    <row r="16" spans="1:6" x14ac:dyDescent="0.3">
      <c r="A16" s="2" t="s">
        <v>55</v>
      </c>
      <c r="B16" s="2" t="s">
        <v>7</v>
      </c>
      <c r="C16" s="2" t="s">
        <v>8</v>
      </c>
      <c r="D16" s="2" t="s">
        <v>43</v>
      </c>
      <c r="E16" s="2" t="s">
        <v>59</v>
      </c>
      <c r="F16" s="2" t="s">
        <v>60</v>
      </c>
    </row>
    <row r="17" spans="1:6" x14ac:dyDescent="0.3">
      <c r="A17" s="2" t="s">
        <v>55</v>
      </c>
      <c r="B17" s="2" t="s">
        <v>61</v>
      </c>
      <c r="C17" s="2" t="s">
        <v>18</v>
      </c>
      <c r="D17" s="2" t="s">
        <v>14</v>
      </c>
      <c r="E17" s="2" t="s">
        <v>62</v>
      </c>
      <c r="F17" s="2" t="s">
        <v>63</v>
      </c>
    </row>
    <row r="18" spans="1:6" x14ac:dyDescent="0.3">
      <c r="A18" s="2" t="s">
        <v>55</v>
      </c>
      <c r="B18" s="2" t="s">
        <v>64</v>
      </c>
      <c r="C18" s="2" t="s">
        <v>18</v>
      </c>
      <c r="D18" s="2" t="s">
        <v>14</v>
      </c>
      <c r="E18" s="2" t="s">
        <v>65</v>
      </c>
      <c r="F18" s="2" t="s">
        <v>66</v>
      </c>
    </row>
    <row r="19" spans="1:6" x14ac:dyDescent="0.3">
      <c r="A19" s="2" t="s">
        <v>55</v>
      </c>
      <c r="B19" s="2" t="s">
        <v>67</v>
      </c>
      <c r="C19" s="2" t="s">
        <v>47</v>
      </c>
      <c r="D19" s="2" t="s">
        <v>14</v>
      </c>
      <c r="E19" s="2" t="s">
        <v>68</v>
      </c>
      <c r="F19" s="2" t="s">
        <v>69</v>
      </c>
    </row>
    <row r="20" spans="1:6" x14ac:dyDescent="0.3">
      <c r="A20" s="2" t="s">
        <v>55</v>
      </c>
      <c r="B20" s="2" t="s">
        <v>70</v>
      </c>
      <c r="C20" s="2" t="s">
        <v>18</v>
      </c>
      <c r="D20" s="2" t="s">
        <v>14</v>
      </c>
      <c r="E20" s="2" t="s">
        <v>71</v>
      </c>
      <c r="F20" s="2" t="s">
        <v>72</v>
      </c>
    </row>
    <row r="21" spans="1:6" x14ac:dyDescent="0.3">
      <c r="A21" s="2" t="s">
        <v>55</v>
      </c>
      <c r="B21" s="2" t="s">
        <v>73</v>
      </c>
      <c r="C21" s="2" t="s">
        <v>13</v>
      </c>
      <c r="D21" s="2" t="s">
        <v>14</v>
      </c>
      <c r="E21" s="2" t="s">
        <v>74</v>
      </c>
      <c r="F21" s="2" t="s">
        <v>75</v>
      </c>
    </row>
    <row r="22" spans="1:6" x14ac:dyDescent="0.3">
      <c r="A22" s="2" t="s">
        <v>55</v>
      </c>
      <c r="B22" s="2" t="s">
        <v>76</v>
      </c>
      <c r="C22" s="2" t="s">
        <v>27</v>
      </c>
      <c r="D22" s="2" t="s">
        <v>14</v>
      </c>
      <c r="E22" s="2" t="s">
        <v>77</v>
      </c>
      <c r="F22" s="2" t="s">
        <v>78</v>
      </c>
    </row>
    <row r="23" spans="1:6" x14ac:dyDescent="0.3">
      <c r="A23" s="2" t="s">
        <v>79</v>
      </c>
      <c r="B23" s="2" t="s">
        <v>80</v>
      </c>
      <c r="C23" s="2" t="s">
        <v>81</v>
      </c>
      <c r="D23" s="2" t="s">
        <v>9</v>
      </c>
      <c r="E23" s="2" t="s">
        <v>82</v>
      </c>
      <c r="F23" s="2" t="s">
        <v>83</v>
      </c>
    </row>
    <row r="24" spans="1:6" x14ac:dyDescent="0.3">
      <c r="A24" s="2" t="s">
        <v>79</v>
      </c>
      <c r="B24" s="2" t="s">
        <v>84</v>
      </c>
      <c r="C24" s="2" t="s">
        <v>85</v>
      </c>
      <c r="D24" s="2" t="s">
        <v>14</v>
      </c>
      <c r="E24" s="2" t="s">
        <v>86</v>
      </c>
      <c r="F24" s="2" t="s">
        <v>87</v>
      </c>
    </row>
    <row r="25" spans="1:6" x14ac:dyDescent="0.3">
      <c r="A25" s="2" t="s">
        <v>79</v>
      </c>
      <c r="B25" s="2" t="s">
        <v>88</v>
      </c>
      <c r="C25" s="2" t="s">
        <v>81</v>
      </c>
      <c r="D25" s="2" t="s">
        <v>14</v>
      </c>
      <c r="E25" s="2" t="s">
        <v>89</v>
      </c>
      <c r="F25" s="2" t="s">
        <v>90</v>
      </c>
    </row>
    <row r="26" spans="1:6" x14ac:dyDescent="0.3">
      <c r="A26" s="2" t="s">
        <v>79</v>
      </c>
      <c r="B26" s="2" t="s">
        <v>91</v>
      </c>
      <c r="C26" s="2" t="s">
        <v>81</v>
      </c>
      <c r="D26" s="2" t="s">
        <v>14</v>
      </c>
      <c r="E26" s="2" t="s">
        <v>92</v>
      </c>
      <c r="F26" s="2" t="s">
        <v>90</v>
      </c>
    </row>
    <row r="27" spans="1:6" x14ac:dyDescent="0.3">
      <c r="A27" s="2" t="s">
        <v>79</v>
      </c>
      <c r="B27" s="2" t="s">
        <v>93</v>
      </c>
      <c r="C27" s="2" t="s">
        <v>8</v>
      </c>
      <c r="D27" s="2" t="s">
        <v>43</v>
      </c>
      <c r="E27" s="2" t="s">
        <v>94</v>
      </c>
      <c r="F27" s="2" t="s">
        <v>95</v>
      </c>
    </row>
    <row r="28" spans="1:6" x14ac:dyDescent="0.3">
      <c r="A28" s="2" t="s">
        <v>79</v>
      </c>
      <c r="B28" s="2" t="s">
        <v>96</v>
      </c>
      <c r="C28" s="2" t="s">
        <v>85</v>
      </c>
      <c r="D28" s="2" t="s">
        <v>14</v>
      </c>
      <c r="E28" s="2" t="s">
        <v>97</v>
      </c>
      <c r="F28" s="2" t="s">
        <v>98</v>
      </c>
    </row>
    <row r="29" spans="1:6" x14ac:dyDescent="0.3">
      <c r="A29" s="2" t="s">
        <v>79</v>
      </c>
      <c r="B29" s="2" t="s">
        <v>99</v>
      </c>
      <c r="C29" s="2" t="s">
        <v>18</v>
      </c>
      <c r="D29" s="2" t="s">
        <v>14</v>
      </c>
      <c r="E29" s="2" t="s">
        <v>100</v>
      </c>
      <c r="F29" s="2" t="s">
        <v>101</v>
      </c>
    </row>
    <row r="30" spans="1:6" x14ac:dyDescent="0.3">
      <c r="A30" s="2" t="s">
        <v>102</v>
      </c>
      <c r="B30" s="2" t="s">
        <v>103</v>
      </c>
      <c r="C30" s="2" t="s">
        <v>81</v>
      </c>
      <c r="D30" s="2" t="s">
        <v>9</v>
      </c>
      <c r="E30" s="2" t="s">
        <v>104</v>
      </c>
      <c r="F30" s="2" t="s">
        <v>105</v>
      </c>
    </row>
    <row r="31" spans="1:6" x14ac:dyDescent="0.3">
      <c r="A31" s="2" t="s">
        <v>102</v>
      </c>
      <c r="B31" s="2" t="s">
        <v>7</v>
      </c>
      <c r="C31" s="2" t="s">
        <v>8</v>
      </c>
      <c r="D31" s="2" t="s">
        <v>43</v>
      </c>
      <c r="E31" s="2" t="s">
        <v>106</v>
      </c>
      <c r="F31" s="2" t="s">
        <v>107</v>
      </c>
    </row>
    <row r="32" spans="1:6" x14ac:dyDescent="0.3">
      <c r="A32" s="2" t="s">
        <v>102</v>
      </c>
      <c r="B32" s="2" t="s">
        <v>108</v>
      </c>
      <c r="C32" s="2" t="s">
        <v>109</v>
      </c>
      <c r="D32" s="2" t="s">
        <v>14</v>
      </c>
      <c r="E32" s="2" t="s">
        <v>110</v>
      </c>
      <c r="F32" s="2" t="s">
        <v>111</v>
      </c>
    </row>
    <row r="33" spans="1:6" x14ac:dyDescent="0.3">
      <c r="A33" s="2" t="s">
        <v>102</v>
      </c>
      <c r="B33" s="2" t="s">
        <v>112</v>
      </c>
      <c r="C33" s="2" t="s">
        <v>109</v>
      </c>
      <c r="D33" s="2" t="s">
        <v>14</v>
      </c>
      <c r="E33" s="2" t="s">
        <v>113</v>
      </c>
      <c r="F33" s="2" t="s">
        <v>111</v>
      </c>
    </row>
    <row r="34" spans="1:6" ht="28.8" x14ac:dyDescent="0.3">
      <c r="A34" s="2" t="s">
        <v>102</v>
      </c>
      <c r="B34" s="2" t="s">
        <v>114</v>
      </c>
      <c r="C34" s="2" t="s">
        <v>42</v>
      </c>
      <c r="D34" s="2" t="s">
        <v>14</v>
      </c>
      <c r="E34" s="2" t="s">
        <v>115</v>
      </c>
      <c r="F34" s="2" t="s">
        <v>116</v>
      </c>
    </row>
    <row r="35" spans="1:6" x14ac:dyDescent="0.3">
      <c r="A35" s="2" t="s">
        <v>102</v>
      </c>
      <c r="B35" s="2" t="s">
        <v>117</v>
      </c>
      <c r="C35" s="2" t="s">
        <v>81</v>
      </c>
      <c r="D35" s="2" t="s">
        <v>14</v>
      </c>
      <c r="E35" s="2" t="s">
        <v>118</v>
      </c>
      <c r="F35" s="2" t="s">
        <v>119</v>
      </c>
    </row>
    <row r="36" spans="1:6" x14ac:dyDescent="0.3">
      <c r="A36" s="2" t="s">
        <v>102</v>
      </c>
      <c r="B36" s="2" t="s">
        <v>120</v>
      </c>
      <c r="C36" s="2" t="s">
        <v>18</v>
      </c>
      <c r="D36" s="2" t="s">
        <v>14</v>
      </c>
      <c r="E36" s="2" t="s">
        <v>121</v>
      </c>
      <c r="F36" s="2" t="s">
        <v>122</v>
      </c>
    </row>
    <row r="37" spans="1:6" x14ac:dyDescent="0.3">
      <c r="A37" s="2" t="s">
        <v>102</v>
      </c>
      <c r="B37" s="2" t="s">
        <v>123</v>
      </c>
      <c r="C37" s="2" t="s">
        <v>18</v>
      </c>
      <c r="D37" s="2" t="s">
        <v>14</v>
      </c>
      <c r="E37" s="2" t="s">
        <v>124</v>
      </c>
      <c r="F37" s="2" t="s">
        <v>125</v>
      </c>
    </row>
    <row r="38" spans="1:6" x14ac:dyDescent="0.3">
      <c r="A38" s="2" t="s">
        <v>102</v>
      </c>
      <c r="B38" s="2" t="s">
        <v>126</v>
      </c>
      <c r="C38" s="2" t="s">
        <v>81</v>
      </c>
      <c r="D38" s="2" t="s">
        <v>14</v>
      </c>
      <c r="E38" s="2" t="s">
        <v>127</v>
      </c>
      <c r="F38" s="2" t="s">
        <v>128</v>
      </c>
    </row>
    <row r="39" spans="1:6" x14ac:dyDescent="0.3">
      <c r="A39" s="2" t="s">
        <v>102</v>
      </c>
      <c r="B39" s="2" t="s">
        <v>129</v>
      </c>
      <c r="C39" s="2" t="s">
        <v>8</v>
      </c>
      <c r="D39" s="2" t="s">
        <v>14</v>
      </c>
      <c r="E39" s="2" t="s">
        <v>130</v>
      </c>
      <c r="F39" s="2" t="s">
        <v>131</v>
      </c>
    </row>
    <row r="40" spans="1:6" x14ac:dyDescent="0.3">
      <c r="A40" s="2" t="s">
        <v>132</v>
      </c>
      <c r="B40" s="2" t="s">
        <v>133</v>
      </c>
      <c r="C40" s="2" t="s">
        <v>8</v>
      </c>
      <c r="D40" s="2" t="s">
        <v>9</v>
      </c>
      <c r="E40" s="2" t="s">
        <v>134</v>
      </c>
      <c r="F40" s="2" t="s">
        <v>135</v>
      </c>
    </row>
    <row r="41" spans="1:6" x14ac:dyDescent="0.3">
      <c r="A41" s="2" t="s">
        <v>132</v>
      </c>
      <c r="B41" s="2" t="s">
        <v>7</v>
      </c>
      <c r="C41" s="2" t="s">
        <v>8</v>
      </c>
      <c r="D41" s="2" t="s">
        <v>43</v>
      </c>
      <c r="E41" s="2" t="s">
        <v>136</v>
      </c>
      <c r="F41" s="2" t="s">
        <v>137</v>
      </c>
    </row>
    <row r="42" spans="1:6" x14ac:dyDescent="0.3">
      <c r="A42" s="2" t="s">
        <v>132</v>
      </c>
      <c r="B42" s="2" t="s">
        <v>138</v>
      </c>
      <c r="C42" s="2" t="s">
        <v>139</v>
      </c>
      <c r="D42" s="2" t="s">
        <v>14</v>
      </c>
      <c r="E42" s="2" t="s">
        <v>140</v>
      </c>
      <c r="F42" s="2" t="s">
        <v>141</v>
      </c>
    </row>
    <row r="43" spans="1:6" x14ac:dyDescent="0.3">
      <c r="A43" s="2" t="s">
        <v>132</v>
      </c>
      <c r="B43" s="2" t="s">
        <v>142</v>
      </c>
      <c r="C43" s="2" t="s">
        <v>143</v>
      </c>
      <c r="D43" s="2" t="s">
        <v>14</v>
      </c>
      <c r="E43" s="2" t="s">
        <v>144</v>
      </c>
      <c r="F43" s="2" t="s">
        <v>145</v>
      </c>
    </row>
    <row r="44" spans="1:6" x14ac:dyDescent="0.3">
      <c r="A44" s="2" t="s">
        <v>132</v>
      </c>
      <c r="B44" s="2" t="s">
        <v>146</v>
      </c>
      <c r="C44" s="2" t="s">
        <v>8</v>
      </c>
      <c r="D44" s="2" t="s">
        <v>14</v>
      </c>
      <c r="E44" s="2" t="s">
        <v>147</v>
      </c>
      <c r="F44" s="2" t="s">
        <v>148</v>
      </c>
    </row>
    <row r="45" spans="1:6" x14ac:dyDescent="0.3">
      <c r="A45" s="2" t="s">
        <v>132</v>
      </c>
      <c r="B45" s="2" t="s">
        <v>149</v>
      </c>
      <c r="C45" s="2" t="s">
        <v>8</v>
      </c>
      <c r="D45" s="2" t="s">
        <v>14</v>
      </c>
      <c r="E45" s="2" t="s">
        <v>150</v>
      </c>
      <c r="F45" s="2" t="s">
        <v>151</v>
      </c>
    </row>
    <row r="46" spans="1:6" x14ac:dyDescent="0.3">
      <c r="A46" s="2" t="s">
        <v>132</v>
      </c>
      <c r="B46" s="2" t="s">
        <v>152</v>
      </c>
      <c r="C46" s="2" t="s">
        <v>143</v>
      </c>
      <c r="D46" s="2" t="s">
        <v>14</v>
      </c>
      <c r="E46" s="2" t="s">
        <v>153</v>
      </c>
      <c r="F46" s="2" t="s">
        <v>154</v>
      </c>
    </row>
    <row r="47" spans="1:6" x14ac:dyDescent="0.3">
      <c r="A47" s="2" t="s">
        <v>132</v>
      </c>
      <c r="B47" s="2" t="s">
        <v>155</v>
      </c>
      <c r="C47" s="2" t="s">
        <v>42</v>
      </c>
      <c r="D47" s="2" t="s">
        <v>14</v>
      </c>
      <c r="E47" s="2" t="s">
        <v>156</v>
      </c>
      <c r="F47" s="2" t="s">
        <v>157</v>
      </c>
    </row>
    <row r="48" spans="1:6" x14ac:dyDescent="0.3">
      <c r="A48" s="2" t="s">
        <v>158</v>
      </c>
      <c r="B48" s="2" t="s">
        <v>133</v>
      </c>
      <c r="C48" s="2" t="s">
        <v>8</v>
      </c>
      <c r="D48" s="2" t="s">
        <v>9</v>
      </c>
      <c r="E48" s="2" t="s">
        <v>159</v>
      </c>
      <c r="F48" s="2" t="s">
        <v>160</v>
      </c>
    </row>
    <row r="49" spans="1:6" x14ac:dyDescent="0.3">
      <c r="A49" s="2" t="s">
        <v>158</v>
      </c>
      <c r="B49" s="2" t="s">
        <v>52</v>
      </c>
      <c r="C49" s="2" t="s">
        <v>18</v>
      </c>
      <c r="D49" s="2" t="s">
        <v>14</v>
      </c>
      <c r="E49" s="2" t="s">
        <v>161</v>
      </c>
      <c r="F49" s="2" t="s">
        <v>54</v>
      </c>
    </row>
    <row r="50" spans="1:6" x14ac:dyDescent="0.3">
      <c r="A50" s="2" t="s">
        <v>158</v>
      </c>
      <c r="B50" s="2" t="s">
        <v>41</v>
      </c>
      <c r="C50" s="2" t="s">
        <v>42</v>
      </c>
      <c r="D50" s="2" t="s">
        <v>43</v>
      </c>
      <c r="E50" s="2" t="s">
        <v>50</v>
      </c>
      <c r="F50" s="2" t="s">
        <v>162</v>
      </c>
    </row>
    <row r="51" spans="1:6" x14ac:dyDescent="0.3">
      <c r="A51" s="2" t="s">
        <v>158</v>
      </c>
      <c r="B51" s="2" t="s">
        <v>138</v>
      </c>
      <c r="C51" s="2" t="s">
        <v>139</v>
      </c>
      <c r="D51" s="2" t="s">
        <v>14</v>
      </c>
      <c r="E51" s="2" t="s">
        <v>163</v>
      </c>
      <c r="F51" s="2" t="s">
        <v>164</v>
      </c>
    </row>
    <row r="52" spans="1:6" x14ac:dyDescent="0.3">
      <c r="A52" s="2" t="s">
        <v>158</v>
      </c>
      <c r="B52" s="2" t="s">
        <v>165</v>
      </c>
      <c r="C52" s="2" t="s">
        <v>143</v>
      </c>
      <c r="D52" s="2" t="s">
        <v>14</v>
      </c>
      <c r="E52" s="2" t="s">
        <v>166</v>
      </c>
      <c r="F52" s="2" t="s">
        <v>167</v>
      </c>
    </row>
    <row r="53" spans="1:6" x14ac:dyDescent="0.3">
      <c r="A53" s="2" t="s">
        <v>158</v>
      </c>
      <c r="B53" s="2" t="s">
        <v>168</v>
      </c>
      <c r="C53" s="2" t="s">
        <v>169</v>
      </c>
      <c r="D53" s="2" t="s">
        <v>14</v>
      </c>
      <c r="E53" s="2" t="s">
        <v>170</v>
      </c>
      <c r="F53" s="2" t="s">
        <v>171</v>
      </c>
    </row>
    <row r="54" spans="1:6" x14ac:dyDescent="0.3">
      <c r="A54" s="2" t="s">
        <v>158</v>
      </c>
      <c r="B54" s="2" t="s">
        <v>172</v>
      </c>
      <c r="C54" s="2" t="s">
        <v>169</v>
      </c>
      <c r="D54" s="2" t="s">
        <v>14</v>
      </c>
      <c r="E54" s="2" t="s">
        <v>173</v>
      </c>
      <c r="F54" s="2" t="s">
        <v>174</v>
      </c>
    </row>
    <row r="55" spans="1:6" x14ac:dyDescent="0.3">
      <c r="A55" s="2" t="s">
        <v>158</v>
      </c>
      <c r="B55" s="2" t="s">
        <v>175</v>
      </c>
      <c r="C55" s="2" t="s">
        <v>8</v>
      </c>
      <c r="D55" s="2" t="s">
        <v>14</v>
      </c>
      <c r="E55" s="2" t="s">
        <v>176</v>
      </c>
      <c r="F55" s="2" t="s">
        <v>177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27" customWidth="1"/>
    <col min="2" max="2" width="18" customWidth="1"/>
    <col min="3" max="3" width="15" customWidth="1"/>
    <col min="4" max="4" width="65" customWidth="1"/>
    <col min="5" max="5" width="38" customWidth="1"/>
    <col min="6" max="6" width="32.77734375" bestFit="1" customWidth="1"/>
  </cols>
  <sheetData>
    <row r="1" spans="1:8" x14ac:dyDescent="0.3">
      <c r="A1" s="1" t="s">
        <v>178</v>
      </c>
      <c r="B1" s="1" t="s">
        <v>179</v>
      </c>
      <c r="C1" s="1" t="s">
        <v>2</v>
      </c>
      <c r="D1" s="1" t="s">
        <v>180</v>
      </c>
      <c r="E1" s="1" t="s">
        <v>181</v>
      </c>
      <c r="H1" t="str">
        <f>PROPER(G1)</f>
        <v/>
      </c>
    </row>
    <row r="2" spans="1:8" x14ac:dyDescent="0.3">
      <c r="A2" s="2" t="s">
        <v>182</v>
      </c>
      <c r="B2" s="2" t="s">
        <v>183</v>
      </c>
      <c r="C2" s="2" t="s">
        <v>184</v>
      </c>
      <c r="D2" s="2" t="s">
        <v>185</v>
      </c>
      <c r="E2" t="str">
        <f>PROPER(D2)</f>
        <v>Basic_Salary + Allowances</v>
      </c>
    </row>
    <row r="3" spans="1:8" x14ac:dyDescent="0.3">
      <c r="A3" s="2" t="s">
        <v>186</v>
      </c>
      <c r="B3" s="2" t="s">
        <v>187</v>
      </c>
      <c r="C3" s="2" t="s">
        <v>188</v>
      </c>
      <c r="D3" s="2" t="s">
        <v>189</v>
      </c>
      <c r="E3" s="2" t="s">
        <v>270</v>
      </c>
    </row>
    <row r="4" spans="1:8" x14ac:dyDescent="0.3">
      <c r="A4" s="2" t="s">
        <v>190</v>
      </c>
      <c r="B4" s="2" t="s">
        <v>187</v>
      </c>
      <c r="C4" s="2" t="s">
        <v>191</v>
      </c>
      <c r="D4" s="2" t="s">
        <v>192</v>
      </c>
      <c r="E4" s="2" t="s">
        <v>271</v>
      </c>
    </row>
    <row r="5" spans="1:8" x14ac:dyDescent="0.3">
      <c r="A5" s="2" t="s">
        <v>193</v>
      </c>
      <c r="B5" s="2" t="s">
        <v>187</v>
      </c>
      <c r="C5" s="2" t="s">
        <v>191</v>
      </c>
      <c r="D5" s="2" t="s">
        <v>194</v>
      </c>
      <c r="E5" s="2" t="s">
        <v>272</v>
      </c>
    </row>
    <row r="6" spans="1:8" x14ac:dyDescent="0.3">
      <c r="A6" s="2" t="s">
        <v>195</v>
      </c>
      <c r="B6" s="2" t="s">
        <v>187</v>
      </c>
      <c r="C6" s="2" t="s">
        <v>188</v>
      </c>
      <c r="D6" s="2" t="s">
        <v>196</v>
      </c>
      <c r="E6" s="2" t="s">
        <v>273</v>
      </c>
    </row>
    <row r="7" spans="1:8" x14ac:dyDescent="0.3">
      <c r="A7" s="2" t="s">
        <v>197</v>
      </c>
      <c r="B7" s="2" t="s">
        <v>187</v>
      </c>
      <c r="C7" s="2" t="s">
        <v>191</v>
      </c>
      <c r="D7" s="2" t="s">
        <v>198</v>
      </c>
      <c r="E7" s="2" t="s">
        <v>274</v>
      </c>
    </row>
    <row r="8" spans="1:8" x14ac:dyDescent="0.3">
      <c r="A8" s="2" t="s">
        <v>199</v>
      </c>
      <c r="B8" s="2" t="s">
        <v>187</v>
      </c>
      <c r="C8" s="2" t="s">
        <v>188</v>
      </c>
      <c r="D8" s="2" t="s">
        <v>200</v>
      </c>
      <c r="E8" s="2" t="s">
        <v>275</v>
      </c>
    </row>
    <row r="9" spans="1:8" x14ac:dyDescent="0.3">
      <c r="A9" s="2" t="s">
        <v>201</v>
      </c>
      <c r="B9" s="2" t="s">
        <v>187</v>
      </c>
      <c r="C9" s="2" t="s">
        <v>191</v>
      </c>
      <c r="D9" s="2" t="s">
        <v>202</v>
      </c>
      <c r="E9" s="2" t="s">
        <v>276</v>
      </c>
    </row>
    <row r="10" spans="1:8" x14ac:dyDescent="0.3">
      <c r="A10" s="2" t="s">
        <v>203</v>
      </c>
      <c r="B10" s="2" t="s">
        <v>183</v>
      </c>
      <c r="C10" s="2" t="s">
        <v>184</v>
      </c>
      <c r="D10" s="2" t="s">
        <v>204</v>
      </c>
      <c r="E10" s="2" t="s">
        <v>277</v>
      </c>
    </row>
    <row r="11" spans="1:8" x14ac:dyDescent="0.3">
      <c r="A11" s="2" t="s">
        <v>205</v>
      </c>
      <c r="B11" s="2" t="s">
        <v>183</v>
      </c>
      <c r="C11" s="2" t="s">
        <v>206</v>
      </c>
      <c r="D11" s="2" t="s">
        <v>207</v>
      </c>
      <c r="E11" s="2" t="s">
        <v>278</v>
      </c>
    </row>
    <row r="12" spans="1:8" x14ac:dyDescent="0.3">
      <c r="A12" s="2" t="s">
        <v>208</v>
      </c>
      <c r="B12" s="2" t="s">
        <v>183</v>
      </c>
      <c r="C12" s="2" t="s">
        <v>209</v>
      </c>
      <c r="D12" s="2" t="s">
        <v>210</v>
      </c>
      <c r="E12" s="2" t="s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pane ySplit="1" topLeftCell="A2" activePane="bottomLeft" state="frozen"/>
      <selection pane="bottomLeft" activeCell="B26" sqref="B26"/>
    </sheetView>
  </sheetViews>
  <sheetFormatPr defaultRowHeight="14.4" x14ac:dyDescent="0.3"/>
  <cols>
    <col min="1" max="1" width="33" customWidth="1"/>
    <col min="2" max="2" width="47" customWidth="1"/>
  </cols>
  <sheetData>
    <row r="1" spans="1:2" x14ac:dyDescent="0.3">
      <c r="A1" s="1" t="s">
        <v>211</v>
      </c>
      <c r="B1" s="1" t="s">
        <v>4</v>
      </c>
    </row>
    <row r="2" spans="1:2" x14ac:dyDescent="0.3">
      <c r="A2" s="2" t="s">
        <v>212</v>
      </c>
      <c r="B2" s="2" t="s">
        <v>213</v>
      </c>
    </row>
    <row r="3" spans="1:2" x14ac:dyDescent="0.3">
      <c r="A3" s="2" t="s">
        <v>214</v>
      </c>
      <c r="B3" s="2" t="s">
        <v>215</v>
      </c>
    </row>
    <row r="4" spans="1:2" x14ac:dyDescent="0.3">
      <c r="A4" s="2" t="s">
        <v>266</v>
      </c>
      <c r="B4" s="2" t="s">
        <v>267</v>
      </c>
    </row>
    <row r="5" spans="1:2" x14ac:dyDescent="0.3">
      <c r="A5" s="2" t="s">
        <v>216</v>
      </c>
      <c r="B5" s="2" t="s">
        <v>217</v>
      </c>
    </row>
    <row r="6" spans="1:2" x14ac:dyDescent="0.3">
      <c r="A6" s="2" t="s">
        <v>218</v>
      </c>
      <c r="B6" s="2" t="s">
        <v>219</v>
      </c>
    </row>
    <row r="7" spans="1:2" x14ac:dyDescent="0.3">
      <c r="A7" s="2" t="s">
        <v>220</v>
      </c>
      <c r="B7" s="2" t="s">
        <v>221</v>
      </c>
    </row>
    <row r="8" spans="1:2" x14ac:dyDescent="0.3">
      <c r="A8" s="2" t="s">
        <v>222</v>
      </c>
      <c r="B8" s="2" t="s">
        <v>223</v>
      </c>
    </row>
    <row r="9" spans="1:2" x14ac:dyDescent="0.3">
      <c r="A9" s="2" t="s">
        <v>224</v>
      </c>
      <c r="B9" s="2" t="s">
        <v>225</v>
      </c>
    </row>
    <row r="10" spans="1:2" x14ac:dyDescent="0.3">
      <c r="A10" s="2" t="s">
        <v>226</v>
      </c>
      <c r="B10" s="2" t="s">
        <v>227</v>
      </c>
    </row>
    <row r="11" spans="1:2" x14ac:dyDescent="0.3">
      <c r="A11" s="2" t="s">
        <v>228</v>
      </c>
      <c r="B11" s="2" t="s">
        <v>229</v>
      </c>
    </row>
    <row r="12" spans="1:2" x14ac:dyDescent="0.3">
      <c r="A12" s="2" t="s">
        <v>230</v>
      </c>
      <c r="B12" s="2" t="s">
        <v>231</v>
      </c>
    </row>
    <row r="13" spans="1:2" x14ac:dyDescent="0.3">
      <c r="A13" s="2" t="s">
        <v>232</v>
      </c>
      <c r="B13" s="2" t="s">
        <v>233</v>
      </c>
    </row>
    <row r="14" spans="1:2" x14ac:dyDescent="0.3">
      <c r="A14" s="2" t="s">
        <v>234</v>
      </c>
      <c r="B14" s="2" t="s">
        <v>235</v>
      </c>
    </row>
    <row r="15" spans="1:2" x14ac:dyDescent="0.3">
      <c r="A15" s="2" t="s">
        <v>236</v>
      </c>
      <c r="B15" s="2" t="s">
        <v>237</v>
      </c>
    </row>
    <row r="16" spans="1:2" x14ac:dyDescent="0.3">
      <c r="A16" s="2" t="s">
        <v>238</v>
      </c>
      <c r="B16" s="2" t="s">
        <v>239</v>
      </c>
    </row>
    <row r="17" spans="1:2" x14ac:dyDescent="0.3">
      <c r="A17" s="2" t="s">
        <v>240</v>
      </c>
      <c r="B17" s="2" t="s">
        <v>241</v>
      </c>
    </row>
    <row r="18" spans="1:2" x14ac:dyDescent="0.3">
      <c r="A18" s="2" t="s">
        <v>242</v>
      </c>
      <c r="B18" s="2" t="s">
        <v>243</v>
      </c>
    </row>
    <row r="19" spans="1:2" x14ac:dyDescent="0.3">
      <c r="A19" s="2" t="s">
        <v>244</v>
      </c>
      <c r="B19" s="2" t="s">
        <v>245</v>
      </c>
    </row>
    <row r="20" spans="1:2" x14ac:dyDescent="0.3">
      <c r="A20" s="2" t="s">
        <v>246</v>
      </c>
      <c r="B20" s="2" t="s">
        <v>247</v>
      </c>
    </row>
    <row r="21" spans="1:2" x14ac:dyDescent="0.3">
      <c r="A21" s="2" t="s">
        <v>248</v>
      </c>
      <c r="B21" s="2" t="s">
        <v>249</v>
      </c>
    </row>
    <row r="22" spans="1:2" x14ac:dyDescent="0.3">
      <c r="A22" s="2" t="s">
        <v>250</v>
      </c>
      <c r="B22" s="2" t="s">
        <v>251</v>
      </c>
    </row>
    <row r="23" spans="1:2" x14ac:dyDescent="0.3">
      <c r="A23" s="2" t="s">
        <v>252</v>
      </c>
      <c r="B23" s="2" t="s">
        <v>253</v>
      </c>
    </row>
    <row r="24" spans="1:2" x14ac:dyDescent="0.3">
      <c r="A24" s="2" t="s">
        <v>254</v>
      </c>
      <c r="B24" s="2" t="s">
        <v>166</v>
      </c>
    </row>
    <row r="25" spans="1:2" x14ac:dyDescent="0.3">
      <c r="A25" s="2" t="s">
        <v>268</v>
      </c>
      <c r="B25" s="2" t="s">
        <v>268</v>
      </c>
    </row>
    <row r="26" spans="1:2" x14ac:dyDescent="0.3">
      <c r="A26" s="2" t="s">
        <v>269</v>
      </c>
      <c r="B26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5" customWidth="1"/>
    <col min="2" max="2" width="17" customWidth="1"/>
    <col min="3" max="3" width="24" customWidth="1"/>
    <col min="4" max="4" width="17" customWidth="1"/>
    <col min="5" max="5" width="65" customWidth="1"/>
  </cols>
  <sheetData>
    <row r="1" spans="1:5" x14ac:dyDescent="0.3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</row>
    <row r="2" spans="1:5" x14ac:dyDescent="0.3">
      <c r="A2" s="2" t="s">
        <v>49</v>
      </c>
      <c r="B2" s="2" t="s">
        <v>41</v>
      </c>
      <c r="C2" s="2" t="s">
        <v>6</v>
      </c>
      <c r="D2" s="2" t="s">
        <v>41</v>
      </c>
      <c r="E2" s="2" t="s">
        <v>260</v>
      </c>
    </row>
    <row r="3" spans="1:5" x14ac:dyDescent="0.3">
      <c r="A3" s="2" t="s">
        <v>6</v>
      </c>
      <c r="B3" s="2" t="s">
        <v>7</v>
      </c>
      <c r="C3" s="2" t="s">
        <v>55</v>
      </c>
      <c r="D3" s="2" t="s">
        <v>7</v>
      </c>
      <c r="E3" s="2" t="s">
        <v>261</v>
      </c>
    </row>
    <row r="4" spans="1:5" x14ac:dyDescent="0.3">
      <c r="A4" s="2" t="s">
        <v>6</v>
      </c>
      <c r="B4" s="2" t="s">
        <v>7</v>
      </c>
      <c r="C4" s="2" t="s">
        <v>79</v>
      </c>
      <c r="D4" s="2" t="s">
        <v>93</v>
      </c>
      <c r="E4" s="2" t="s">
        <v>262</v>
      </c>
    </row>
    <row r="5" spans="1:5" x14ac:dyDescent="0.3">
      <c r="A5" s="2" t="s">
        <v>6</v>
      </c>
      <c r="B5" s="2" t="s">
        <v>7</v>
      </c>
      <c r="C5" s="2" t="s">
        <v>102</v>
      </c>
      <c r="D5" s="2" t="s">
        <v>7</v>
      </c>
      <c r="E5" s="2" t="s">
        <v>263</v>
      </c>
    </row>
    <row r="6" spans="1:5" x14ac:dyDescent="0.3">
      <c r="A6" s="2" t="s">
        <v>6</v>
      </c>
      <c r="B6" s="2" t="s">
        <v>7</v>
      </c>
      <c r="C6" s="2" t="s">
        <v>132</v>
      </c>
      <c r="D6" s="2" t="s">
        <v>7</v>
      </c>
      <c r="E6" s="2" t="s">
        <v>264</v>
      </c>
    </row>
    <row r="7" spans="1:5" x14ac:dyDescent="0.3">
      <c r="A7" s="2" t="s">
        <v>49</v>
      </c>
      <c r="B7" s="2" t="s">
        <v>41</v>
      </c>
      <c r="C7" s="2" t="s">
        <v>158</v>
      </c>
      <c r="D7" s="2" t="s">
        <v>41</v>
      </c>
      <c r="E7" s="2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Calculated Fields</vt:lpstr>
      <vt:lpstr>Power BI Measures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Presec La</cp:lastModifiedBy>
  <dcterms:created xsi:type="dcterms:W3CDTF">2026-08-09T21:45:28Z</dcterms:created>
  <dcterms:modified xsi:type="dcterms:W3CDTF">2026-08-09T22:18:30Z</dcterms:modified>
</cp:coreProperties>
</file>